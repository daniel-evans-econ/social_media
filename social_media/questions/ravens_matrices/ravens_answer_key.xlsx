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jagelka\Dartmouth College Dropbox\Tomas Jagelka\Social Media Project\intelligence test questions\ai_test_ravens_tasks\"/>
    </mc:Choice>
  </mc:AlternateContent>
  <xr:revisionPtr revIDLastSave="0" documentId="13_ncr:1_{A3A331B9-469C-48B1-AFCA-642E9EBB3584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O37" i="1"/>
  <c r="J37" i="1"/>
  <c r="O36" i="1"/>
  <c r="J36" i="1"/>
  <c r="O35" i="1"/>
  <c r="J35" i="1"/>
  <c r="O34" i="1"/>
  <c r="J34" i="1"/>
  <c r="O33" i="1"/>
  <c r="J33" i="1"/>
  <c r="O32" i="1"/>
  <c r="J32" i="1"/>
  <c r="O31" i="1"/>
  <c r="J31" i="1"/>
  <c r="O30" i="1"/>
  <c r="J30" i="1"/>
  <c r="O29" i="1"/>
  <c r="J29" i="1"/>
  <c r="O28" i="1"/>
  <c r="J28" i="1"/>
  <c r="O27" i="1"/>
  <c r="J27" i="1"/>
  <c r="O26" i="1"/>
  <c r="J26" i="1"/>
  <c r="O25" i="1"/>
  <c r="J25" i="1"/>
  <c r="O24" i="1"/>
  <c r="J24" i="1"/>
  <c r="O23" i="1"/>
  <c r="J23" i="1"/>
  <c r="O22" i="1"/>
  <c r="J22" i="1"/>
  <c r="O21" i="1"/>
  <c r="J21" i="1"/>
  <c r="O20" i="1"/>
  <c r="J20" i="1"/>
  <c r="O19" i="1"/>
  <c r="J19" i="1"/>
  <c r="O18" i="1"/>
  <c r="J18" i="1"/>
  <c r="O17" i="1"/>
  <c r="J17" i="1"/>
  <c r="O16" i="1"/>
  <c r="J16" i="1"/>
  <c r="C18" i="2" s="1"/>
  <c r="O15" i="1"/>
  <c r="J15" i="1"/>
  <c r="O14" i="1"/>
  <c r="J14" i="1"/>
  <c r="O13" i="1"/>
  <c r="J13" i="1"/>
  <c r="O12" i="1"/>
  <c r="J12" i="1"/>
  <c r="O11" i="1"/>
  <c r="J11" i="1"/>
  <c r="O10" i="1"/>
  <c r="J10" i="1"/>
  <c r="O9" i="1"/>
  <c r="J9" i="1"/>
  <c r="O8" i="1"/>
  <c r="J8" i="1"/>
  <c r="O7" i="1"/>
  <c r="J7" i="1"/>
  <c r="O6" i="1"/>
  <c r="J6" i="1"/>
  <c r="O5" i="1"/>
  <c r="J5" i="1"/>
  <c r="O4" i="1"/>
  <c r="J4" i="1"/>
  <c r="O3" i="1"/>
  <c r="J3" i="1"/>
  <c r="O2" i="1"/>
  <c r="J2" i="1"/>
  <c r="C13" i="2" l="1"/>
  <c r="B12" i="2"/>
  <c r="D7" i="2"/>
  <c r="B7" i="2"/>
  <c r="D12" i="2"/>
  <c r="D19" i="2"/>
  <c r="C19" i="2"/>
  <c r="D18" i="2"/>
  <c r="C12" i="2"/>
  <c r="D6" i="2"/>
  <c r="D5" i="2"/>
  <c r="D17" i="2"/>
  <c r="C17" i="2"/>
  <c r="B13" i="2"/>
  <c r="E12" i="2"/>
  <c r="D11" i="2"/>
  <c r="E17" i="2"/>
  <c r="B17" i="2"/>
  <c r="C5" i="2"/>
  <c r="C7" i="2"/>
  <c r="B18" i="2"/>
  <c r="E18" i="2"/>
  <c r="E5" i="2"/>
  <c r="E7" i="2"/>
  <c r="F5" i="2"/>
  <c r="F7" i="2"/>
  <c r="B6" i="2"/>
  <c r="B11" i="2"/>
  <c r="D13" i="2"/>
  <c r="B19" i="2"/>
  <c r="C6" i="2"/>
  <c r="C11" i="2"/>
  <c r="E13" i="2"/>
  <c r="E6" i="2"/>
  <c r="E11" i="2"/>
  <c r="E19" i="2"/>
  <c r="F6" i="2"/>
  <c r="B5" i="2"/>
  <c r="B23" i="2" l="1"/>
  <c r="B22" i="2"/>
</calcChain>
</file>

<file path=xl/sharedStrings.xml><?xml version="1.0" encoding="utf-8"?>
<sst xmlns="http://schemas.openxmlformats.org/spreadsheetml/2006/main" count="163" uniqueCount="79">
  <si>
    <t>Block</t>
  </si>
  <si>
    <t>Item</t>
  </si>
  <si>
    <t>Correct answer</t>
  </si>
  <si>
    <t>ChatGPT answer</t>
  </si>
  <si>
    <t>ChatGPT result</t>
  </si>
  <si>
    <t>ChatGPT time (sec)</t>
  </si>
  <si>
    <t>ChatGPT time note</t>
  </si>
  <si>
    <t>Claude answer</t>
  </si>
  <si>
    <t>Claude result</t>
  </si>
  <si>
    <t>Claude time (sec)</t>
  </si>
  <si>
    <t>Claude time note</t>
  </si>
  <si>
    <t>Gemini answer</t>
  </si>
  <si>
    <t>Gemini result</t>
  </si>
  <si>
    <t>Gemini time (sec)</t>
  </si>
  <si>
    <t>Gemini time note</t>
  </si>
  <si>
    <t>Notes</t>
  </si>
  <si>
    <t>C</t>
  </si>
  <si>
    <t>C1</t>
  </si>
  <si>
    <t>Immediate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</si>
  <si>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</si>
  <si>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</si>
  <si>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</si>
  <si>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</si>
  <si>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</si>
  <si>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</si>
  <si>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</si>
  <si>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</si>
  <si>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</si>
  <si>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</si>
  <si>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</si>
  <si>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</si>
  <si>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</si>
  <si>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</si>
  <si>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</si>
  <si>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</si>
  <si>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</si>
  <si>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</si>
  <si>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</si>
  <si>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</si>
  <si>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</si>
  <si>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</si>
  <si>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</si>
  <si>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</si>
  <si>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</si>
  <si>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</si>
  <si>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</si>
  <si>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</si>
  <si>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</si>
  <si>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</si>
  <si>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</si>
  <si>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</si>
  <si>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</si>
  <si>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</si>
  <si>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</si>
  <si>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</si>
  <si>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</si>
  <si>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Raven matrix AI test tracker</t>
  </si>
  <si>
    <t>Accuracy by block</t>
  </si>
  <si>
    <t>Model</t>
  </si>
  <si>
    <t>Block C</t>
  </si>
  <si>
    <t>Block D</t>
  </si>
  <si>
    <t>Block E</t>
  </si>
  <si>
    <t>Overall</t>
  </si>
  <si>
    <t>Completed items</t>
  </si>
  <si>
    <t>ChatGPT</t>
  </si>
  <si>
    <t>Claude</t>
  </si>
  <si>
    <t>Gemini</t>
  </si>
  <si>
    <t>Correct / attempted by block</t>
  </si>
  <si>
    <t>Average response time in seconds</t>
  </si>
  <si>
    <t>Note</t>
  </si>
  <si>
    <t>Immediate is entered as 0 seconds.</t>
  </si>
  <si>
    <t>Current headline metrics</t>
  </si>
  <si>
    <t>Best current accuracy</t>
  </si>
  <si>
    <t>Most efficient current model</t>
  </si>
  <si>
    <t>x</t>
  </si>
  <si>
    <t>Sum correct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</si>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</sst>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venResultsTable" displayName="RavenResultsTable" ref="A1:T37">
  <tableColumns count="20">
    <tableColumn id="1" xr3:uid="{00000000-0010-0000-0000-000001000000}" name="Block"/>
    <tableColumn id="2" xr3:uid="{00000000-0010-0000-0000-000002000000}" name="Item"/>
    <tableColumn id="3" xr3:uid="{00000000-0010-0000-0000-000003000000}" name="Correct answer"/>
    <tableColumn id="4" xr3:uid="{00000000-0010-0000-0000-000004000000}" name="ChatGPT answer"/>
    <tableColumn id="5" xr3:uid="{00000000-0010-0000-0000-000005000000}" name="ChatGPT result"/>
    <tableColumn id="18" xr3:uid="{190F1EBA-6483-4BE2-92AB-E5915528EAE3}" name="Column1" dataDxfId="9">
      <calculatedColumnFormula>IF(D2="","",IF(D2=$C2,1,0))</calculatedColumnFormula>
    </tableColumn>
    <tableColumn id="6" xr3:uid="{00000000-0010-0000-0000-000006000000}" name="ChatGPT time (sec)"/>
    <tableColumn id="7" xr3:uid="{00000000-0010-0000-0000-000007000000}" name="ChatGPT time note"/>
    <tableColumn id="8" xr3:uid="{00000000-0010-0000-0000-000008000000}" name="Claude answer"/>
    <tableColumn id="9" xr3:uid="{00000000-0010-0000-0000-000009000000}" name="Claude result"/>
    <tableColumn id="19" xr3:uid="{65B535D4-9901-4BAA-AD05-9188841326B6}" name="Column2" dataDxfId="8">
      <calculatedColumnFormula>IF(I2="","",IF(I2=$C2,1,0))</calculatedColumnFormula>
    </tableColumn>
    <tableColumn id="10" xr3:uid="{00000000-0010-0000-0000-00000A000000}" name="Claude time (sec)"/>
    <tableColumn id="11" xr3:uid="{00000000-0010-0000-0000-00000B000000}" name="Claude time note"/>
    <tableColumn id="12" xr3:uid="{00000000-0010-0000-0000-00000C000000}" name="Gemini answer"/>
    <tableColumn id="13" xr3:uid="{00000000-0010-0000-0000-00000D000000}" name="Gemini result"/>
    <tableColumn id="20" xr3:uid="{F9650507-AC8A-4716-AF0E-83EFBA3132D4}" name="Column3" dataDxfId="1">
      <calculatedColumnFormula>IF(N2="","",IF(N2=$C2,1,0))</calculatedColumnFormula>
    </tableColumn>
    <tableColumn id="14" xr3:uid="{00000000-0010-0000-0000-00000E000000}" name="Gemini time (sec)"/>
    <tableColumn id="15" xr3:uid="{00000000-0010-0000-0000-00000F000000}" name="Gemini time note"/>
    <tableColumn id="16" xr3:uid="{00000000-0010-0000-0000-000010000000}" name="Notes"/>
    <tableColumn id="17" xr3:uid="{6DA35B0B-1695-4639-AD9C-749FCACF9095}" name="Sum correct" dataDxfId="0">
      <calculatedColumnFormula>SUM(RavenResultsTable[[#This Row],[Column3]],RavenResultsTable[[#This Row],[Column2]],RavenResultsTable[[#This Row],[Column1]])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topLeftCell="M1" workbookViewId="0">
      <selection activeCell="Q16" sqref="Q16"/>
    </sheetView>
  </sheetViews>
  <sheetFormatPr defaultColWidth="8.83203125" defaultRowHeight="14.25"/>
  <cols>
    <col min="1" max="2" width="8" customWidth="1"/>
    <col min="3" max="3" width="15" customWidth="1"/>
    <col min="4" max="18" width="17" customWidth="1"/>
    <col min="19" max="19" width="28" customWidth="1"/>
  </cols>
  <sheetData>
    <row r="1" spans="1:20" ht="4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77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78</v>
      </c>
      <c r="Q1" s="1" t="s">
        <v>13</v>
      </c>
      <c r="R1" s="1" t="s">
        <v>14</v>
      </c>
      <c r="S1" s="1" t="s">
        <v>15</v>
      </c>
      <c r="T1" t="s">
        <v>75</v>
      </c>
    </row>
    <row r="2" spans="1:20">
      <c r="A2" s="3" t="s">
        <v>16</v>
      </c>
      <c r="B2" s="3" t="s">
        <v>17</v>
      </c>
      <c r="C2" s="3">
        <v>8</v>
      </c>
      <c r="D2" s="3">
        <v>5</v>
      </c>
      <c r="E2" s="3" t="str">
        <f t="shared" ref="E2:E37" si="0">IF(D2="","",IF(D2=$C2,"Correct","Incorrect"))</f>
        <v>Incorrect</v>
      </c>
      <c r="F2" s="3">
        <f t="shared" ref="F2:F37" si="1">IF(D2="","",IF(D2=$C2,1,0))</f>
        <v>0</v>
      </c>
      <c r="G2" s="3">
        <v>0</v>
      </c>
      <c r="H2" s="3" t="s">
        <v>18</v>
      </c>
      <c r="I2" s="3">
        <v>3</v>
      </c>
      <c r="J2" s="3" t="str">
        <f t="shared" ref="J2:J37" si="2">IF(I2="","",IF(I2=$C2,"Correct","Incorrect"))</f>
        <v>Incorrect</v>
      </c>
      <c r="K2" s="3">
        <f t="shared" ref="K2:K37" si="3">IF(I2="","",IF(I2=$C2,1,0))</f>
        <v>0</v>
      </c>
      <c r="L2" s="3">
        <v>5</v>
      </c>
      <c r="M2" s="3"/>
      <c r="N2" s="3">
        <v>4</v>
      </c>
      <c r="O2" s="3" t="str">
        <f t="shared" ref="O2:O37" si="4">IF(N2="","",IF(N2=$C2,"Correct","Incorrect"))</f>
        <v>Incorrect</v>
      </c>
      <c r="P2" s="3">
        <f t="shared" ref="P2:P37" si="5">IF(N2="","",IF(N2=$C2,1,0))</f>
        <v>0</v>
      </c>
      <c r="Q2" s="3">
        <v>4</v>
      </c>
      <c r="R2" s="3"/>
      <c r="S2" s="3"/>
      <c r="T2">
        <f>SUM(RavenResultsTable[[#This Row],[Column3]],RavenResultsTable[[#This Row],[Column2]],RavenResultsTable[[#This Row],[Column1]])</f>
        <v>0</v>
      </c>
    </row>
    <row r="3" spans="1:20">
      <c r="A3" s="3" t="s">
        <v>16</v>
      </c>
      <c r="B3" s="3" t="s">
        <v>19</v>
      </c>
      <c r="C3" s="3">
        <v>3</v>
      </c>
      <c r="D3" s="3">
        <v>3</v>
      </c>
      <c r="E3" s="3" t="str">
        <f t="shared" si="0"/>
        <v>Correct</v>
      </c>
      <c r="F3" s="3">
        <f t="shared" si="1"/>
        <v>1</v>
      </c>
      <c r="G3" s="3">
        <v>0</v>
      </c>
      <c r="H3" s="3" t="s">
        <v>18</v>
      </c>
      <c r="I3" s="3">
        <v>5</v>
      </c>
      <c r="J3" s="3" t="str">
        <f t="shared" si="2"/>
        <v>Incorrect</v>
      </c>
      <c r="K3" s="3">
        <f t="shared" si="3"/>
        <v>0</v>
      </c>
      <c r="L3" s="3">
        <v>7</v>
      </c>
      <c r="M3" s="3"/>
      <c r="N3" s="3">
        <v>3</v>
      </c>
      <c r="O3" s="3" t="str">
        <f t="shared" si="4"/>
        <v>Correct</v>
      </c>
      <c r="P3" s="3">
        <f t="shared" si="5"/>
        <v>1</v>
      </c>
      <c r="Q3" s="3">
        <v>7</v>
      </c>
      <c r="R3" s="3"/>
      <c r="S3" s="3"/>
      <c r="T3">
        <f>SUM(RavenResultsTable[[#This Row],[Column3]],RavenResultsTable[[#This Row],[Column2]],RavenResultsTable[[#This Row],[Column1]])</f>
        <v>2</v>
      </c>
    </row>
    <row r="4" spans="1:20">
      <c r="A4" s="3" t="s">
        <v>16</v>
      </c>
      <c r="B4" s="3" t="s">
        <v>20</v>
      </c>
      <c r="C4" s="3">
        <v>2</v>
      </c>
      <c r="D4" s="3">
        <v>2</v>
      </c>
      <c r="E4" s="3" t="str">
        <f t="shared" si="0"/>
        <v>Correct</v>
      </c>
      <c r="F4" s="3">
        <f t="shared" si="1"/>
        <v>1</v>
      </c>
      <c r="G4" s="3">
        <v>0</v>
      </c>
      <c r="H4" s="3" t="s">
        <v>18</v>
      </c>
      <c r="I4" s="3">
        <v>7</v>
      </c>
      <c r="J4" s="3" t="str">
        <f t="shared" si="2"/>
        <v>Incorrect</v>
      </c>
      <c r="K4" s="3">
        <f t="shared" si="3"/>
        <v>0</v>
      </c>
      <c r="L4" s="3">
        <v>3</v>
      </c>
      <c r="M4" s="3"/>
      <c r="N4" s="3">
        <v>2</v>
      </c>
      <c r="O4" s="3" t="str">
        <f t="shared" si="4"/>
        <v>Correct</v>
      </c>
      <c r="P4" s="3">
        <f t="shared" si="5"/>
        <v>1</v>
      </c>
      <c r="Q4" s="3">
        <v>1</v>
      </c>
      <c r="R4" s="3"/>
      <c r="S4" s="3"/>
      <c r="T4">
        <f>SUM(RavenResultsTable[[#This Row],[Column3]],RavenResultsTable[[#This Row],[Column2]],RavenResultsTable[[#This Row],[Column1]])</f>
        <v>2</v>
      </c>
    </row>
    <row r="5" spans="1:20">
      <c r="A5" s="3" t="s">
        <v>16</v>
      </c>
      <c r="B5" s="3" t="s">
        <v>21</v>
      </c>
      <c r="C5" s="3">
        <v>7</v>
      </c>
      <c r="D5" s="3">
        <v>2</v>
      </c>
      <c r="E5" s="3" t="str">
        <f t="shared" si="0"/>
        <v>Incorrect</v>
      </c>
      <c r="F5" s="3">
        <f t="shared" si="1"/>
        <v>0</v>
      </c>
      <c r="G5" s="3">
        <v>0</v>
      </c>
      <c r="H5" s="3" t="s">
        <v>18</v>
      </c>
      <c r="I5" s="3">
        <v>7</v>
      </c>
      <c r="J5" s="3" t="str">
        <f t="shared" si="2"/>
        <v>Correct</v>
      </c>
      <c r="K5" s="3">
        <f t="shared" si="3"/>
        <v>1</v>
      </c>
      <c r="L5" s="3">
        <v>11</v>
      </c>
      <c r="M5" s="3"/>
      <c r="N5" s="3">
        <v>8</v>
      </c>
      <c r="O5" s="3" t="str">
        <f t="shared" si="4"/>
        <v>Incorrect</v>
      </c>
      <c r="P5" s="3">
        <f t="shared" si="5"/>
        <v>0</v>
      </c>
      <c r="Q5" s="3">
        <v>8</v>
      </c>
      <c r="R5" s="3"/>
      <c r="S5" s="3"/>
      <c r="T5">
        <f>SUM(RavenResultsTable[[#This Row],[Column3]],RavenResultsTable[[#This Row],[Column2]],RavenResultsTable[[#This Row],[Column1]])</f>
        <v>1</v>
      </c>
    </row>
    <row r="6" spans="1:20">
      <c r="A6" s="3" t="s">
        <v>16</v>
      </c>
      <c r="B6" s="3" t="s">
        <v>22</v>
      </c>
      <c r="C6" s="3">
        <v>8</v>
      </c>
      <c r="D6" s="3">
        <v>8</v>
      </c>
      <c r="E6" s="3" t="str">
        <f t="shared" si="0"/>
        <v>Correct</v>
      </c>
      <c r="F6" s="3">
        <f t="shared" si="1"/>
        <v>1</v>
      </c>
      <c r="G6" s="3">
        <v>0</v>
      </c>
      <c r="H6" s="3" t="s">
        <v>18</v>
      </c>
      <c r="I6" s="3">
        <v>1</v>
      </c>
      <c r="J6" s="3" t="str">
        <f t="shared" si="2"/>
        <v>Incorrect</v>
      </c>
      <c r="K6" s="3">
        <f t="shared" si="3"/>
        <v>0</v>
      </c>
      <c r="L6" s="3">
        <v>6</v>
      </c>
      <c r="M6" s="3"/>
      <c r="N6" s="3">
        <v>3</v>
      </c>
      <c r="O6" s="3" t="str">
        <f t="shared" si="4"/>
        <v>Incorrect</v>
      </c>
      <c r="P6" s="3">
        <f t="shared" si="5"/>
        <v>0</v>
      </c>
      <c r="Q6" s="3">
        <v>3</v>
      </c>
      <c r="R6" s="3"/>
      <c r="S6" s="3"/>
      <c r="T6">
        <f>SUM(RavenResultsTable[[#This Row],[Column3]],RavenResultsTable[[#This Row],[Column2]],RavenResultsTable[[#This Row],[Column1]])</f>
        <v>1</v>
      </c>
    </row>
    <row r="7" spans="1:20">
      <c r="A7" s="3" t="s">
        <v>16</v>
      </c>
      <c r="B7" s="3" t="s">
        <v>23</v>
      </c>
      <c r="C7" s="3">
        <v>4</v>
      </c>
      <c r="D7" s="3">
        <v>4</v>
      </c>
      <c r="E7" s="3" t="str">
        <f t="shared" si="0"/>
        <v>Correct</v>
      </c>
      <c r="F7" s="3">
        <f t="shared" si="1"/>
        <v>1</v>
      </c>
      <c r="G7" s="3">
        <v>0</v>
      </c>
      <c r="H7" s="3" t="s">
        <v>18</v>
      </c>
      <c r="I7" s="3">
        <v>1</v>
      </c>
      <c r="J7" s="3" t="str">
        <f t="shared" si="2"/>
        <v>Incorrect</v>
      </c>
      <c r="K7" s="3">
        <f t="shared" si="3"/>
        <v>0</v>
      </c>
      <c r="L7" s="3">
        <v>8</v>
      </c>
      <c r="M7" s="3"/>
      <c r="N7" s="3">
        <v>4</v>
      </c>
      <c r="O7" s="3" t="str">
        <f t="shared" si="4"/>
        <v>Correct</v>
      </c>
      <c r="P7" s="3">
        <f t="shared" si="5"/>
        <v>1</v>
      </c>
      <c r="Q7" s="3">
        <v>5</v>
      </c>
      <c r="R7" s="3"/>
      <c r="S7" s="3"/>
      <c r="T7">
        <f>SUM(RavenResultsTable[[#This Row],[Column3]],RavenResultsTable[[#This Row],[Column2]],RavenResultsTable[[#This Row],[Column1]])</f>
        <v>2</v>
      </c>
    </row>
    <row r="8" spans="1:20">
      <c r="A8" s="3" t="s">
        <v>16</v>
      </c>
      <c r="B8" s="3" t="s">
        <v>24</v>
      </c>
      <c r="C8" s="3">
        <v>5</v>
      </c>
      <c r="D8" s="3">
        <v>1</v>
      </c>
      <c r="E8" s="3" t="str">
        <f t="shared" si="0"/>
        <v>Incorrect</v>
      </c>
      <c r="F8" s="3">
        <f t="shared" si="1"/>
        <v>0</v>
      </c>
      <c r="G8" s="3">
        <v>0</v>
      </c>
      <c r="H8" s="3" t="s">
        <v>18</v>
      </c>
      <c r="I8" s="3">
        <v>8</v>
      </c>
      <c r="J8" s="3" t="str">
        <f t="shared" si="2"/>
        <v>Incorrect</v>
      </c>
      <c r="K8" s="3">
        <f t="shared" si="3"/>
        <v>0</v>
      </c>
      <c r="L8" s="3">
        <v>9</v>
      </c>
      <c r="M8" s="3"/>
      <c r="N8" s="3">
        <v>5</v>
      </c>
      <c r="O8" s="3" t="str">
        <f t="shared" si="4"/>
        <v>Correct</v>
      </c>
      <c r="P8" s="3">
        <f t="shared" si="5"/>
        <v>1</v>
      </c>
      <c r="Q8" s="3">
        <v>2</v>
      </c>
      <c r="R8" s="3"/>
      <c r="S8" s="3"/>
      <c r="T8">
        <f>SUM(RavenResultsTable[[#This Row],[Column3]],RavenResultsTable[[#This Row],[Column2]],RavenResultsTable[[#This Row],[Column1]])</f>
        <v>1</v>
      </c>
    </row>
    <row r="9" spans="1:20">
      <c r="A9" s="3" t="s">
        <v>16</v>
      </c>
      <c r="B9" s="3" t="s">
        <v>25</v>
      </c>
      <c r="C9" s="3">
        <v>7</v>
      </c>
      <c r="D9" s="3">
        <v>7</v>
      </c>
      <c r="E9" s="3" t="str">
        <f t="shared" si="0"/>
        <v>Correct</v>
      </c>
      <c r="F9" s="3">
        <f t="shared" si="1"/>
        <v>1</v>
      </c>
      <c r="G9" s="3">
        <v>0</v>
      </c>
      <c r="H9" s="3" t="s">
        <v>18</v>
      </c>
      <c r="I9" s="3">
        <v>7</v>
      </c>
      <c r="J9" s="3" t="str">
        <f t="shared" si="2"/>
        <v>Correct</v>
      </c>
      <c r="K9" s="3">
        <f t="shared" si="3"/>
        <v>1</v>
      </c>
      <c r="L9" s="3">
        <v>2</v>
      </c>
      <c r="M9" s="3"/>
      <c r="N9" s="3">
        <v>7</v>
      </c>
      <c r="O9" s="3" t="str">
        <f t="shared" si="4"/>
        <v>Correct</v>
      </c>
      <c r="P9" s="3">
        <f t="shared" si="5"/>
        <v>1</v>
      </c>
      <c r="Q9" s="3">
        <v>6</v>
      </c>
      <c r="R9" s="3"/>
      <c r="S9" s="3"/>
      <c r="T9">
        <f>SUM(RavenResultsTable[[#This Row],[Column3]],RavenResultsTable[[#This Row],[Column2]],RavenResultsTable[[#This Row],[Column1]])</f>
        <v>3</v>
      </c>
    </row>
    <row r="10" spans="1:20">
      <c r="A10" s="3" t="s">
        <v>16</v>
      </c>
      <c r="B10" s="3" t="s">
        <v>26</v>
      </c>
      <c r="C10" s="3">
        <v>1</v>
      </c>
      <c r="D10" s="3">
        <v>1</v>
      </c>
      <c r="E10" s="3" t="str">
        <f t="shared" si="0"/>
        <v>Correct</v>
      </c>
      <c r="F10" s="3">
        <f t="shared" si="1"/>
        <v>1</v>
      </c>
      <c r="G10" s="3">
        <v>0</v>
      </c>
      <c r="H10" s="3" t="s">
        <v>18</v>
      </c>
      <c r="I10" s="3">
        <v>6</v>
      </c>
      <c r="J10" s="3" t="str">
        <f t="shared" si="2"/>
        <v>Incorrect</v>
      </c>
      <c r="K10" s="3">
        <f t="shared" si="3"/>
        <v>0</v>
      </c>
      <c r="L10" s="3">
        <v>12</v>
      </c>
      <c r="M10" s="3"/>
      <c r="N10" s="3">
        <v>6</v>
      </c>
      <c r="O10" s="3" t="str">
        <f t="shared" si="4"/>
        <v>Incorrect</v>
      </c>
      <c r="P10" s="3">
        <f t="shared" si="5"/>
        <v>0</v>
      </c>
      <c r="Q10" s="3">
        <v>8</v>
      </c>
      <c r="R10" s="3"/>
      <c r="S10" s="3"/>
      <c r="T10">
        <f>SUM(RavenResultsTable[[#This Row],[Column3]],RavenResultsTable[[#This Row],[Column2]],RavenResultsTable[[#This Row],[Column1]])</f>
        <v>1</v>
      </c>
    </row>
    <row r="11" spans="1:20">
      <c r="A11" s="3" t="s">
        <v>16</v>
      </c>
      <c r="B11" s="3" t="s">
        <v>27</v>
      </c>
      <c r="C11" s="3">
        <v>1</v>
      </c>
      <c r="D11" s="3">
        <v>6</v>
      </c>
      <c r="E11" s="3" t="str">
        <f t="shared" si="0"/>
        <v>Incorrect</v>
      </c>
      <c r="F11" s="3">
        <f t="shared" si="1"/>
        <v>0</v>
      </c>
      <c r="G11" s="3">
        <v>0</v>
      </c>
      <c r="H11" s="3" t="s">
        <v>18</v>
      </c>
      <c r="I11" s="3">
        <v>7</v>
      </c>
      <c r="J11" s="3" t="str">
        <f t="shared" si="2"/>
        <v>Incorrect</v>
      </c>
      <c r="K11" s="3">
        <f t="shared" si="3"/>
        <v>0</v>
      </c>
      <c r="L11" s="3">
        <v>5</v>
      </c>
      <c r="M11" s="3"/>
      <c r="N11" s="3">
        <v>8</v>
      </c>
      <c r="O11" s="3" t="str">
        <f t="shared" si="4"/>
        <v>Incorrect</v>
      </c>
      <c r="P11" s="3">
        <f t="shared" si="5"/>
        <v>0</v>
      </c>
      <c r="Q11" s="3">
        <v>4</v>
      </c>
      <c r="R11" s="3"/>
      <c r="S11" s="3"/>
      <c r="T11">
        <f>SUM(RavenResultsTable[[#This Row],[Column3]],RavenResultsTable[[#This Row],[Column2]],RavenResultsTable[[#This Row],[Column1]])</f>
        <v>0</v>
      </c>
    </row>
    <row r="12" spans="1:20">
      <c r="A12" s="3" t="s">
        <v>16</v>
      </c>
      <c r="B12" s="3" t="s">
        <v>28</v>
      </c>
      <c r="C12" s="3">
        <v>6</v>
      </c>
      <c r="D12" s="3">
        <v>6</v>
      </c>
      <c r="E12" s="3" t="str">
        <f t="shared" si="0"/>
        <v>Correct</v>
      </c>
      <c r="F12" s="3">
        <f t="shared" si="1"/>
        <v>1</v>
      </c>
      <c r="G12" s="3">
        <v>0</v>
      </c>
      <c r="H12" s="3" t="s">
        <v>18</v>
      </c>
      <c r="I12" s="3">
        <v>1</v>
      </c>
      <c r="J12" s="3" t="str">
        <f t="shared" si="2"/>
        <v>Incorrect</v>
      </c>
      <c r="K12" s="3">
        <f t="shared" si="3"/>
        <v>0</v>
      </c>
      <c r="L12" s="3">
        <v>8</v>
      </c>
      <c r="M12" s="3"/>
      <c r="N12" s="3">
        <v>6</v>
      </c>
      <c r="O12" s="3" t="str">
        <f t="shared" si="4"/>
        <v>Correct</v>
      </c>
      <c r="P12" s="3">
        <f t="shared" si="5"/>
        <v>1</v>
      </c>
      <c r="Q12" s="3">
        <v>1</v>
      </c>
      <c r="R12" s="3"/>
      <c r="S12" s="3"/>
      <c r="T12">
        <f>SUM(RavenResultsTable[[#This Row],[Column3]],RavenResultsTable[[#This Row],[Column2]],RavenResultsTable[[#This Row],[Column1]])</f>
        <v>2</v>
      </c>
    </row>
    <row r="13" spans="1:20">
      <c r="A13" s="3" t="s">
        <v>16</v>
      </c>
      <c r="B13" s="3" t="s">
        <v>29</v>
      </c>
      <c r="C13" s="3">
        <v>2</v>
      </c>
      <c r="D13" s="3">
        <v>8</v>
      </c>
      <c r="E13" s="3" t="str">
        <f t="shared" si="0"/>
        <v>Incorrect</v>
      </c>
      <c r="F13" s="3">
        <f t="shared" si="1"/>
        <v>0</v>
      </c>
      <c r="G13" s="3">
        <v>0</v>
      </c>
      <c r="H13" s="3" t="s">
        <v>18</v>
      </c>
      <c r="I13" s="3">
        <v>8</v>
      </c>
      <c r="J13" s="3" t="str">
        <f t="shared" si="2"/>
        <v>Incorrect</v>
      </c>
      <c r="K13" s="3">
        <f t="shared" si="3"/>
        <v>0</v>
      </c>
      <c r="L13" s="3">
        <v>5</v>
      </c>
      <c r="M13" s="3"/>
      <c r="N13" s="3">
        <v>5</v>
      </c>
      <c r="O13" s="3" t="str">
        <f t="shared" si="4"/>
        <v>Incorrect</v>
      </c>
      <c r="P13" s="3">
        <f t="shared" si="5"/>
        <v>0</v>
      </c>
      <c r="Q13" s="3">
        <v>3</v>
      </c>
      <c r="R13" s="3"/>
      <c r="S13" s="3"/>
      <c r="T13">
        <f>SUM(RavenResultsTable[[#This Row],[Column3]],RavenResultsTable[[#This Row],[Column2]],RavenResultsTable[[#This Row],[Column1]])</f>
        <v>0</v>
      </c>
    </row>
    <row r="14" spans="1:20">
      <c r="A14" s="3" t="s">
        <v>30</v>
      </c>
      <c r="B14" s="3" t="s">
        <v>31</v>
      </c>
      <c r="C14" s="3">
        <v>3</v>
      </c>
      <c r="D14" s="3">
        <v>3</v>
      </c>
      <c r="E14" s="3" t="str">
        <f t="shared" si="0"/>
        <v>Correct</v>
      </c>
      <c r="F14" s="3">
        <f t="shared" si="1"/>
        <v>1</v>
      </c>
      <c r="G14" s="3">
        <v>0</v>
      </c>
      <c r="H14" s="3" t="s">
        <v>18</v>
      </c>
      <c r="I14" s="3">
        <v>3</v>
      </c>
      <c r="J14" s="3" t="str">
        <f t="shared" si="2"/>
        <v>Correct</v>
      </c>
      <c r="K14" s="3">
        <f t="shared" si="3"/>
        <v>1</v>
      </c>
      <c r="L14" s="3">
        <v>2</v>
      </c>
      <c r="M14" s="3"/>
      <c r="N14" s="3">
        <v>3</v>
      </c>
      <c r="O14" s="3" t="str">
        <f t="shared" si="4"/>
        <v>Correct</v>
      </c>
      <c r="P14" s="3">
        <f t="shared" si="5"/>
        <v>1</v>
      </c>
      <c r="Q14" s="3">
        <v>7</v>
      </c>
      <c r="R14" s="3"/>
      <c r="S14" s="3"/>
      <c r="T14">
        <f>SUM(RavenResultsTable[[#This Row],[Column3]],RavenResultsTable[[#This Row],[Column2]],RavenResultsTable[[#This Row],[Column1]])</f>
        <v>3</v>
      </c>
    </row>
    <row r="15" spans="1:20">
      <c r="A15" s="3" t="s">
        <v>30</v>
      </c>
      <c r="B15" s="3" t="s">
        <v>32</v>
      </c>
      <c r="C15" s="3">
        <v>4</v>
      </c>
      <c r="D15" s="3">
        <v>4</v>
      </c>
      <c r="E15" s="3" t="str">
        <f t="shared" si="0"/>
        <v>Correct</v>
      </c>
      <c r="F15" s="3">
        <f t="shared" si="1"/>
        <v>1</v>
      </c>
      <c r="G15" s="3">
        <v>0</v>
      </c>
      <c r="H15" s="3" t="s">
        <v>18</v>
      </c>
      <c r="I15" s="3">
        <v>4</v>
      </c>
      <c r="J15" s="3" t="str">
        <f t="shared" si="2"/>
        <v>Correct</v>
      </c>
      <c r="K15" s="3">
        <f t="shared" si="3"/>
        <v>1</v>
      </c>
      <c r="L15" s="3">
        <v>1</v>
      </c>
      <c r="M15" s="3"/>
      <c r="N15" s="3">
        <v>4</v>
      </c>
      <c r="O15" s="3" t="str">
        <f t="shared" si="4"/>
        <v>Correct</v>
      </c>
      <c r="P15" s="3">
        <f t="shared" si="5"/>
        <v>1</v>
      </c>
      <c r="Q15" s="3">
        <v>2</v>
      </c>
      <c r="R15" s="3"/>
      <c r="S15" s="3"/>
      <c r="T15">
        <f>SUM(RavenResultsTable[[#This Row],[Column3]],RavenResultsTable[[#This Row],[Column2]],RavenResultsTable[[#This Row],[Column1]])</f>
        <v>3</v>
      </c>
    </row>
    <row r="16" spans="1:20">
      <c r="A16" s="3" t="s">
        <v>30</v>
      </c>
      <c r="B16" s="3" t="s">
        <v>33</v>
      </c>
      <c r="C16" s="3">
        <v>3</v>
      </c>
      <c r="D16" s="3">
        <v>3</v>
      </c>
      <c r="E16" s="3" t="str">
        <f t="shared" si="0"/>
        <v>Correct</v>
      </c>
      <c r="F16" s="3">
        <f t="shared" si="1"/>
        <v>1</v>
      </c>
      <c r="G16" s="3">
        <v>0</v>
      </c>
      <c r="H16" s="3" t="s">
        <v>18</v>
      </c>
      <c r="I16" s="3">
        <v>3</v>
      </c>
      <c r="J16" s="3" t="str">
        <f t="shared" si="2"/>
        <v>Correct</v>
      </c>
      <c r="K16" s="3">
        <f t="shared" si="3"/>
        <v>1</v>
      </c>
      <c r="L16" s="3">
        <v>4</v>
      </c>
      <c r="M16" s="3"/>
      <c r="N16" s="3">
        <v>3</v>
      </c>
      <c r="O16" s="3" t="str">
        <f t="shared" si="4"/>
        <v>Correct</v>
      </c>
      <c r="P16" s="3">
        <f t="shared" si="5"/>
        <v>1</v>
      </c>
      <c r="Q16" s="3">
        <v>5</v>
      </c>
      <c r="R16" s="3"/>
      <c r="S16" s="3"/>
      <c r="T16">
        <f>SUM(RavenResultsTable[[#This Row],[Column3]],RavenResultsTable[[#This Row],[Column2]],RavenResultsTable[[#This Row],[Column1]])</f>
        <v>3</v>
      </c>
    </row>
    <row r="17" spans="1:20">
      <c r="A17" s="3" t="s">
        <v>30</v>
      </c>
      <c r="B17" s="3" t="s">
        <v>34</v>
      </c>
      <c r="C17" s="3">
        <v>8</v>
      </c>
      <c r="D17" s="3">
        <v>8</v>
      </c>
      <c r="E17" s="3" t="str">
        <f t="shared" si="0"/>
        <v>Correct</v>
      </c>
      <c r="F17" s="3">
        <f t="shared" si="1"/>
        <v>1</v>
      </c>
      <c r="G17" s="3">
        <v>0</v>
      </c>
      <c r="H17" s="3" t="s">
        <v>18</v>
      </c>
      <c r="I17" s="3">
        <v>7</v>
      </c>
      <c r="J17" s="3" t="str">
        <f t="shared" si="2"/>
        <v>Incorrect</v>
      </c>
      <c r="K17" s="3">
        <f t="shared" si="3"/>
        <v>0</v>
      </c>
      <c r="L17" s="3">
        <v>6</v>
      </c>
      <c r="M17" s="3"/>
      <c r="N17" s="3">
        <v>8</v>
      </c>
      <c r="O17" s="3" t="str">
        <f t="shared" si="4"/>
        <v>Correct</v>
      </c>
      <c r="P17" s="3">
        <f t="shared" si="5"/>
        <v>1</v>
      </c>
      <c r="Q17" s="3">
        <v>6</v>
      </c>
      <c r="R17" s="3"/>
      <c r="S17" s="3"/>
      <c r="T17">
        <f>SUM(RavenResultsTable[[#This Row],[Column3]],RavenResultsTable[[#This Row],[Column2]],RavenResultsTable[[#This Row],[Column1]])</f>
        <v>2</v>
      </c>
    </row>
    <row r="18" spans="1:20">
      <c r="A18" s="3" t="s">
        <v>30</v>
      </c>
      <c r="B18" s="3" t="s">
        <v>35</v>
      </c>
      <c r="C18" s="3">
        <v>7</v>
      </c>
      <c r="D18" s="3">
        <v>7</v>
      </c>
      <c r="E18" s="3" t="str">
        <f t="shared" si="0"/>
        <v>Correct</v>
      </c>
      <c r="F18" s="3">
        <f t="shared" si="1"/>
        <v>1</v>
      </c>
      <c r="G18" s="3">
        <v>0</v>
      </c>
      <c r="H18" s="3" t="s">
        <v>18</v>
      </c>
      <c r="I18" s="3">
        <v>7</v>
      </c>
      <c r="J18" s="3" t="str">
        <f t="shared" si="2"/>
        <v>Correct</v>
      </c>
      <c r="K18" s="3">
        <f t="shared" si="3"/>
        <v>1</v>
      </c>
      <c r="L18" s="3">
        <v>5</v>
      </c>
      <c r="M18" s="3"/>
      <c r="N18" s="3">
        <v>1</v>
      </c>
      <c r="O18" s="3" t="str">
        <f t="shared" si="4"/>
        <v>Incorrect</v>
      </c>
      <c r="P18" s="3">
        <f t="shared" si="5"/>
        <v>0</v>
      </c>
      <c r="Q18" s="3">
        <v>8</v>
      </c>
      <c r="R18" s="3"/>
      <c r="S18" s="3"/>
      <c r="T18">
        <f>SUM(RavenResultsTable[[#This Row],[Column3]],RavenResultsTable[[#This Row],[Column2]],RavenResultsTable[[#This Row],[Column1]])</f>
        <v>2</v>
      </c>
    </row>
    <row r="19" spans="1:20">
      <c r="A19" s="3" t="s">
        <v>30</v>
      </c>
      <c r="B19" s="3" t="s">
        <v>36</v>
      </c>
      <c r="C19" s="3">
        <v>6</v>
      </c>
      <c r="D19" s="3">
        <v>6</v>
      </c>
      <c r="E19" s="3" t="str">
        <f t="shared" si="0"/>
        <v>Correct</v>
      </c>
      <c r="F19" s="3">
        <f t="shared" si="1"/>
        <v>1</v>
      </c>
      <c r="G19" s="3">
        <v>0</v>
      </c>
      <c r="H19" s="3" t="s">
        <v>18</v>
      </c>
      <c r="I19" s="3">
        <v>6</v>
      </c>
      <c r="J19" s="3" t="str">
        <f t="shared" si="2"/>
        <v>Correct</v>
      </c>
      <c r="K19" s="3">
        <f t="shared" si="3"/>
        <v>1</v>
      </c>
      <c r="L19" s="3">
        <v>7</v>
      </c>
      <c r="M19" s="3"/>
      <c r="N19" s="3">
        <v>6</v>
      </c>
      <c r="O19" s="3" t="str">
        <f t="shared" si="4"/>
        <v>Correct</v>
      </c>
      <c r="P19" s="3">
        <f t="shared" si="5"/>
        <v>1</v>
      </c>
      <c r="Q19" s="3">
        <v>2</v>
      </c>
      <c r="R19" s="3"/>
      <c r="S19" s="3"/>
      <c r="T19">
        <f>SUM(RavenResultsTable[[#This Row],[Column3]],RavenResultsTable[[#This Row],[Column2]],RavenResultsTable[[#This Row],[Column1]])</f>
        <v>3</v>
      </c>
    </row>
    <row r="20" spans="1:20">
      <c r="A20" s="3" t="s">
        <v>30</v>
      </c>
      <c r="B20" s="3" t="s">
        <v>37</v>
      </c>
      <c r="C20" s="3">
        <v>5</v>
      </c>
      <c r="D20" s="3">
        <v>8</v>
      </c>
      <c r="E20" s="3" t="str">
        <f t="shared" si="0"/>
        <v>Incorrect</v>
      </c>
      <c r="F20" s="3">
        <f t="shared" si="1"/>
        <v>0</v>
      </c>
      <c r="G20" s="3">
        <v>0</v>
      </c>
      <c r="H20" s="3" t="s">
        <v>18</v>
      </c>
      <c r="I20" s="3">
        <v>8</v>
      </c>
      <c r="J20" s="3" t="str">
        <f t="shared" si="2"/>
        <v>Incorrect</v>
      </c>
      <c r="K20" s="3">
        <f t="shared" si="3"/>
        <v>0</v>
      </c>
      <c r="L20" s="3">
        <v>11</v>
      </c>
      <c r="M20" s="3"/>
      <c r="N20" s="3">
        <v>5</v>
      </c>
      <c r="O20" s="3" t="str">
        <f t="shared" si="4"/>
        <v>Correct</v>
      </c>
      <c r="P20" s="3">
        <f t="shared" si="5"/>
        <v>1</v>
      </c>
      <c r="Q20" s="3">
        <v>1</v>
      </c>
      <c r="R20" s="3"/>
      <c r="S20" s="3"/>
      <c r="T20">
        <f>SUM(RavenResultsTable[[#This Row],[Column3]],RavenResultsTable[[#This Row],[Column2]],RavenResultsTable[[#This Row],[Column1]])</f>
        <v>1</v>
      </c>
    </row>
    <row r="21" spans="1:20">
      <c r="A21" s="3" t="s">
        <v>30</v>
      </c>
      <c r="B21" s="3" t="s">
        <v>38</v>
      </c>
      <c r="C21" s="3">
        <v>4</v>
      </c>
      <c r="D21" s="3">
        <v>4</v>
      </c>
      <c r="E21" s="3" t="str">
        <f t="shared" si="0"/>
        <v>Correct</v>
      </c>
      <c r="F21" s="3">
        <f t="shared" si="1"/>
        <v>1</v>
      </c>
      <c r="G21" s="3">
        <v>0</v>
      </c>
      <c r="H21" s="3" t="s">
        <v>18</v>
      </c>
      <c r="I21" s="3">
        <v>4</v>
      </c>
      <c r="J21" s="3" t="str">
        <f t="shared" si="2"/>
        <v>Correct</v>
      </c>
      <c r="K21" s="3">
        <f t="shared" si="3"/>
        <v>1</v>
      </c>
      <c r="L21" s="3">
        <v>3</v>
      </c>
      <c r="M21" s="3"/>
      <c r="N21" s="3">
        <v>2</v>
      </c>
      <c r="O21" s="3" t="str">
        <f t="shared" si="4"/>
        <v>Incorrect</v>
      </c>
      <c r="P21" s="3">
        <f t="shared" si="5"/>
        <v>0</v>
      </c>
      <c r="Q21" s="3">
        <v>4</v>
      </c>
      <c r="R21" s="3"/>
      <c r="S21" s="3"/>
      <c r="T21">
        <f>SUM(RavenResultsTable[[#This Row],[Column3]],RavenResultsTable[[#This Row],[Column2]],RavenResultsTable[[#This Row],[Column1]])</f>
        <v>2</v>
      </c>
    </row>
    <row r="22" spans="1:20">
      <c r="A22" s="3" t="s">
        <v>30</v>
      </c>
      <c r="B22" s="3" t="s">
        <v>39</v>
      </c>
      <c r="C22" s="3">
        <v>1</v>
      </c>
      <c r="D22" s="3">
        <v>1</v>
      </c>
      <c r="E22" s="3" t="str">
        <f t="shared" si="0"/>
        <v>Correct</v>
      </c>
      <c r="F22" s="3">
        <f t="shared" si="1"/>
        <v>1</v>
      </c>
      <c r="G22" s="3">
        <v>0</v>
      </c>
      <c r="H22" s="3" t="s">
        <v>18</v>
      </c>
      <c r="I22" s="3">
        <v>2</v>
      </c>
      <c r="J22" s="3" t="str">
        <f t="shared" si="2"/>
        <v>Incorrect</v>
      </c>
      <c r="K22" s="3">
        <f t="shared" si="3"/>
        <v>0</v>
      </c>
      <c r="L22" s="3">
        <v>9</v>
      </c>
      <c r="M22" s="3"/>
      <c r="N22" s="3">
        <v>8</v>
      </c>
      <c r="O22" s="3" t="str">
        <f t="shared" si="4"/>
        <v>Incorrect</v>
      </c>
      <c r="P22" s="3">
        <f t="shared" si="5"/>
        <v>0</v>
      </c>
      <c r="Q22" s="3">
        <v>7</v>
      </c>
      <c r="R22" s="3"/>
      <c r="S22" s="3"/>
      <c r="T22">
        <f>SUM(RavenResultsTable[[#This Row],[Column3]],RavenResultsTable[[#This Row],[Column2]],RavenResultsTable[[#This Row],[Column1]])</f>
        <v>1</v>
      </c>
    </row>
    <row r="23" spans="1:20">
      <c r="A23" s="3" t="s">
        <v>30</v>
      </c>
      <c r="B23" s="3" t="s">
        <v>40</v>
      </c>
      <c r="C23" s="3">
        <v>2</v>
      </c>
      <c r="D23" s="3">
        <v>5</v>
      </c>
      <c r="E23" s="3" t="str">
        <f t="shared" si="0"/>
        <v>Incorrect</v>
      </c>
      <c r="F23" s="3">
        <f t="shared" si="1"/>
        <v>0</v>
      </c>
      <c r="G23" s="3">
        <v>0</v>
      </c>
      <c r="H23" s="3" t="s">
        <v>18</v>
      </c>
      <c r="I23" s="3">
        <v>4</v>
      </c>
      <c r="J23" s="3" t="str">
        <f t="shared" si="2"/>
        <v>Incorrect</v>
      </c>
      <c r="K23" s="3">
        <f t="shared" si="3"/>
        <v>0</v>
      </c>
      <c r="L23" s="3">
        <v>7</v>
      </c>
      <c r="M23" s="3"/>
      <c r="N23" s="3">
        <v>5</v>
      </c>
      <c r="O23" s="3" t="str">
        <f t="shared" si="4"/>
        <v>Incorrect</v>
      </c>
      <c r="P23" s="3">
        <f t="shared" si="5"/>
        <v>0</v>
      </c>
      <c r="Q23" s="3">
        <v>3</v>
      </c>
      <c r="R23" s="3"/>
      <c r="S23" s="3"/>
      <c r="T23">
        <f>SUM(RavenResultsTable[[#This Row],[Column3]],RavenResultsTable[[#This Row],[Column2]],RavenResultsTable[[#This Row],[Column1]])</f>
        <v>0</v>
      </c>
    </row>
    <row r="24" spans="1:20">
      <c r="A24" s="3" t="s">
        <v>30</v>
      </c>
      <c r="B24" s="3" t="s">
        <v>41</v>
      </c>
      <c r="C24" s="3">
        <v>5</v>
      </c>
      <c r="D24" s="3">
        <v>8</v>
      </c>
      <c r="E24" s="3" t="str">
        <f t="shared" si="0"/>
        <v>Incorrect</v>
      </c>
      <c r="F24" s="3">
        <f t="shared" si="1"/>
        <v>0</v>
      </c>
      <c r="G24" s="3">
        <v>0</v>
      </c>
      <c r="H24" s="3" t="s">
        <v>18</v>
      </c>
      <c r="I24" s="3">
        <v>5</v>
      </c>
      <c r="J24" s="3" t="str">
        <f t="shared" si="2"/>
        <v>Correct</v>
      </c>
      <c r="K24" s="3">
        <f t="shared" si="3"/>
        <v>1</v>
      </c>
      <c r="L24" s="3">
        <v>2</v>
      </c>
      <c r="M24" s="3"/>
      <c r="N24" s="3">
        <v>5</v>
      </c>
      <c r="O24" s="3" t="str">
        <f t="shared" si="4"/>
        <v>Correct</v>
      </c>
      <c r="P24" s="3">
        <f t="shared" si="5"/>
        <v>1</v>
      </c>
      <c r="Q24" s="3">
        <v>5</v>
      </c>
      <c r="R24" s="3"/>
      <c r="S24" s="3"/>
      <c r="T24">
        <f>SUM(RavenResultsTable[[#This Row],[Column3]],RavenResultsTable[[#This Row],[Column2]],RavenResultsTable[[#This Row],[Column1]])</f>
        <v>2</v>
      </c>
    </row>
    <row r="25" spans="1:20">
      <c r="A25" s="3" t="s">
        <v>30</v>
      </c>
      <c r="B25" s="3" t="s">
        <v>42</v>
      </c>
      <c r="C25" s="3">
        <v>6</v>
      </c>
      <c r="D25" s="3">
        <v>6</v>
      </c>
      <c r="E25" s="3" t="str">
        <f t="shared" si="0"/>
        <v>Correct</v>
      </c>
      <c r="F25" s="3">
        <f t="shared" si="1"/>
        <v>1</v>
      </c>
      <c r="G25" s="3">
        <v>0</v>
      </c>
      <c r="H25" s="3" t="s">
        <v>18</v>
      </c>
      <c r="I25" s="3">
        <v>8</v>
      </c>
      <c r="J25" s="3" t="str">
        <f t="shared" si="2"/>
        <v>Incorrect</v>
      </c>
      <c r="K25" s="3">
        <f t="shared" si="3"/>
        <v>0</v>
      </c>
      <c r="L25" s="3">
        <v>5</v>
      </c>
      <c r="M25" s="3"/>
      <c r="N25" s="3">
        <v>6</v>
      </c>
      <c r="O25" s="3" t="str">
        <f t="shared" si="4"/>
        <v>Correct</v>
      </c>
      <c r="P25" s="3">
        <f t="shared" si="5"/>
        <v>1</v>
      </c>
      <c r="Q25" s="3">
        <v>6</v>
      </c>
      <c r="R25" s="3"/>
      <c r="S25" s="3"/>
      <c r="T25">
        <f>SUM(RavenResultsTable[[#This Row],[Column3]],RavenResultsTable[[#This Row],[Column2]],RavenResultsTable[[#This Row],[Column1]])</f>
        <v>2</v>
      </c>
    </row>
    <row r="26" spans="1:20">
      <c r="A26" s="3" t="s">
        <v>43</v>
      </c>
      <c r="B26" s="3" t="s">
        <v>44</v>
      </c>
      <c r="C26" s="3">
        <v>7</v>
      </c>
      <c r="D26" s="3">
        <v>6</v>
      </c>
      <c r="E26" s="3" t="str">
        <f t="shared" si="0"/>
        <v>Incorrect</v>
      </c>
      <c r="F26" s="3">
        <f t="shared" si="1"/>
        <v>0</v>
      </c>
      <c r="G26" s="3">
        <v>0</v>
      </c>
      <c r="H26" s="3" t="s">
        <v>18</v>
      </c>
      <c r="I26" s="3">
        <v>6</v>
      </c>
      <c r="J26" s="3" t="str">
        <f t="shared" si="2"/>
        <v>Incorrect</v>
      </c>
      <c r="K26" s="3">
        <f t="shared" si="3"/>
        <v>0</v>
      </c>
      <c r="L26" s="3">
        <v>10</v>
      </c>
      <c r="M26" s="3"/>
      <c r="N26" s="3">
        <v>7</v>
      </c>
      <c r="O26" s="3" t="str">
        <f t="shared" si="4"/>
        <v>Correct</v>
      </c>
      <c r="P26" s="3">
        <f t="shared" si="5"/>
        <v>1</v>
      </c>
      <c r="Q26" s="3">
        <v>2</v>
      </c>
      <c r="R26" s="3"/>
      <c r="S26" s="3"/>
      <c r="T26">
        <f>SUM(RavenResultsTable[[#This Row],[Column3]],RavenResultsTable[[#This Row],[Column2]],RavenResultsTable[[#This Row],[Column1]])</f>
        <v>1</v>
      </c>
    </row>
    <row r="27" spans="1:20">
      <c r="A27" s="3" t="s">
        <v>43</v>
      </c>
      <c r="B27" s="3" t="s">
        <v>45</v>
      </c>
      <c r="C27" s="3">
        <v>6</v>
      </c>
      <c r="D27" s="3">
        <v>1</v>
      </c>
      <c r="E27" s="3" t="str">
        <f t="shared" si="0"/>
        <v>Incorrect</v>
      </c>
      <c r="F27" s="3">
        <f t="shared" si="1"/>
        <v>0</v>
      </c>
      <c r="G27" s="3">
        <v>0</v>
      </c>
      <c r="H27" s="3" t="s">
        <v>18</v>
      </c>
      <c r="I27" s="3">
        <v>6</v>
      </c>
      <c r="J27" s="3" t="str">
        <f t="shared" si="2"/>
        <v>Correct</v>
      </c>
      <c r="K27" s="3">
        <f t="shared" si="3"/>
        <v>1</v>
      </c>
      <c r="L27" s="3">
        <v>12</v>
      </c>
      <c r="M27" s="3"/>
      <c r="N27" s="3">
        <v>7</v>
      </c>
      <c r="O27" s="3" t="str">
        <f t="shared" si="4"/>
        <v>Incorrect</v>
      </c>
      <c r="P27" s="3">
        <f t="shared" si="5"/>
        <v>0</v>
      </c>
      <c r="Q27" s="3">
        <v>8</v>
      </c>
      <c r="R27" s="3"/>
      <c r="S27" s="3"/>
      <c r="T27">
        <f>SUM(RavenResultsTable[[#This Row],[Column3]],RavenResultsTable[[#This Row],[Column2]],RavenResultsTable[[#This Row],[Column1]])</f>
        <v>1</v>
      </c>
    </row>
    <row r="28" spans="1:20">
      <c r="A28" s="3" t="s">
        <v>43</v>
      </c>
      <c r="B28" s="3" t="s">
        <v>46</v>
      </c>
      <c r="C28" s="3">
        <v>8</v>
      </c>
      <c r="D28" s="3">
        <v>2</v>
      </c>
      <c r="E28" s="3" t="str">
        <f t="shared" si="0"/>
        <v>Incorrect</v>
      </c>
      <c r="F28" s="3">
        <f t="shared" si="1"/>
        <v>0</v>
      </c>
      <c r="G28" s="3">
        <v>0</v>
      </c>
      <c r="H28" s="3" t="s">
        <v>18</v>
      </c>
      <c r="I28" s="3">
        <v>8</v>
      </c>
      <c r="J28" s="3" t="str">
        <f t="shared" si="2"/>
        <v>Correct</v>
      </c>
      <c r="K28" s="3">
        <f t="shared" si="3"/>
        <v>1</v>
      </c>
      <c r="L28" s="3">
        <v>7</v>
      </c>
      <c r="M28" s="3"/>
      <c r="N28" s="3">
        <v>3</v>
      </c>
      <c r="O28" s="3" t="str">
        <f t="shared" si="4"/>
        <v>Incorrect</v>
      </c>
      <c r="P28" s="3">
        <f t="shared" si="5"/>
        <v>0</v>
      </c>
      <c r="Q28" s="3">
        <v>4</v>
      </c>
      <c r="R28" s="3"/>
      <c r="S28" s="3"/>
      <c r="T28">
        <f>SUM(RavenResultsTable[[#This Row],[Column3]],RavenResultsTable[[#This Row],[Column2]],RavenResultsTable[[#This Row],[Column1]])</f>
        <v>1</v>
      </c>
    </row>
    <row r="29" spans="1:20">
      <c r="A29" s="3" t="s">
        <v>43</v>
      </c>
      <c r="B29" s="3" t="s">
        <v>47</v>
      </c>
      <c r="C29" s="3">
        <v>2</v>
      </c>
      <c r="D29" s="3">
        <v>2</v>
      </c>
      <c r="E29" s="3" t="str">
        <f t="shared" si="0"/>
        <v>Correct</v>
      </c>
      <c r="F29" s="3">
        <f t="shared" si="1"/>
        <v>1</v>
      </c>
      <c r="G29" s="3">
        <v>0</v>
      </c>
      <c r="H29" s="3" t="s">
        <v>18</v>
      </c>
      <c r="I29" s="3">
        <v>8</v>
      </c>
      <c r="J29" s="3" t="str">
        <f t="shared" si="2"/>
        <v>Incorrect</v>
      </c>
      <c r="K29" s="3">
        <f t="shared" si="3"/>
        <v>0</v>
      </c>
      <c r="L29" s="3">
        <v>10</v>
      </c>
      <c r="M29" s="3"/>
      <c r="N29" s="3">
        <v>6</v>
      </c>
      <c r="O29" s="3" t="str">
        <f t="shared" si="4"/>
        <v>Incorrect</v>
      </c>
      <c r="P29" s="3">
        <f t="shared" si="5"/>
        <v>0</v>
      </c>
      <c r="Q29" s="3">
        <v>1</v>
      </c>
      <c r="R29" s="3"/>
      <c r="S29" s="3"/>
      <c r="T29">
        <f>SUM(RavenResultsTable[[#This Row],[Column3]],RavenResultsTable[[#This Row],[Column2]],RavenResultsTable[[#This Row],[Column1]])</f>
        <v>1</v>
      </c>
    </row>
    <row r="30" spans="1:20">
      <c r="A30" s="3" t="s">
        <v>43</v>
      </c>
      <c r="B30" s="3" t="s">
        <v>48</v>
      </c>
      <c r="C30" s="3">
        <v>1</v>
      </c>
      <c r="D30" s="3">
        <v>1</v>
      </c>
      <c r="E30" s="3" t="str">
        <f t="shared" si="0"/>
        <v>Correct</v>
      </c>
      <c r="F30" s="3">
        <f t="shared" si="1"/>
        <v>1</v>
      </c>
      <c r="G30" s="3">
        <v>0</v>
      </c>
      <c r="H30" s="3" t="s">
        <v>18</v>
      </c>
      <c r="I30" s="3">
        <v>6</v>
      </c>
      <c r="J30" s="3" t="str">
        <f t="shared" si="2"/>
        <v>Incorrect</v>
      </c>
      <c r="K30" s="3">
        <f t="shared" si="3"/>
        <v>0</v>
      </c>
      <c r="L30" s="3">
        <v>9</v>
      </c>
      <c r="M30" s="3"/>
      <c r="N30" s="3">
        <v>1</v>
      </c>
      <c r="O30" s="3" t="str">
        <f t="shared" si="4"/>
        <v>Correct</v>
      </c>
      <c r="P30" s="3">
        <f t="shared" si="5"/>
        <v>1</v>
      </c>
      <c r="Q30" s="3">
        <v>7</v>
      </c>
      <c r="R30" s="3"/>
      <c r="S30" s="3"/>
      <c r="T30">
        <f>SUM(RavenResultsTable[[#This Row],[Column3]],RavenResultsTable[[#This Row],[Column2]],RavenResultsTable[[#This Row],[Column1]])</f>
        <v>2</v>
      </c>
    </row>
    <row r="31" spans="1:20">
      <c r="A31" s="3" t="s">
        <v>43</v>
      </c>
      <c r="B31" s="3" t="s">
        <v>49</v>
      </c>
      <c r="C31" s="3">
        <v>5</v>
      </c>
      <c r="D31" s="3">
        <v>6</v>
      </c>
      <c r="E31" s="3" t="str">
        <f t="shared" si="0"/>
        <v>Incorrect</v>
      </c>
      <c r="F31" s="3">
        <f t="shared" si="1"/>
        <v>0</v>
      </c>
      <c r="G31" s="3">
        <v>0</v>
      </c>
      <c r="H31" s="3" t="s">
        <v>18</v>
      </c>
      <c r="I31" s="3">
        <v>5</v>
      </c>
      <c r="J31" s="3" t="str">
        <f t="shared" si="2"/>
        <v>Correct</v>
      </c>
      <c r="K31" s="3">
        <f t="shared" si="3"/>
        <v>1</v>
      </c>
      <c r="L31" s="3">
        <v>5</v>
      </c>
      <c r="M31" s="3"/>
      <c r="N31" s="3">
        <v>5</v>
      </c>
      <c r="O31" s="3" t="str">
        <f t="shared" si="4"/>
        <v>Correct</v>
      </c>
      <c r="P31" s="3">
        <f t="shared" si="5"/>
        <v>1</v>
      </c>
      <c r="Q31" s="3">
        <v>3</v>
      </c>
      <c r="R31" s="3"/>
      <c r="S31" s="3"/>
      <c r="T31">
        <f>SUM(RavenResultsTable[[#This Row],[Column3]],RavenResultsTable[[#This Row],[Column2]],RavenResultsTable[[#This Row],[Column1]])</f>
        <v>2</v>
      </c>
    </row>
    <row r="32" spans="1:20">
      <c r="A32" s="3" t="s">
        <v>43</v>
      </c>
      <c r="B32" s="3" t="s">
        <v>50</v>
      </c>
      <c r="C32" s="3">
        <v>1</v>
      </c>
      <c r="D32" s="3">
        <v>1</v>
      </c>
      <c r="E32" s="3" t="str">
        <f>IF(D32="","",IF(D32=$C32,"Correct","Incorrect"))</f>
        <v>Correct</v>
      </c>
      <c r="F32" s="3">
        <f t="shared" si="1"/>
        <v>1</v>
      </c>
      <c r="G32" s="3">
        <v>0</v>
      </c>
      <c r="H32" s="3" t="s">
        <v>18</v>
      </c>
      <c r="I32" s="3">
        <v>6</v>
      </c>
      <c r="J32" s="3" t="str">
        <f t="shared" si="2"/>
        <v>Incorrect</v>
      </c>
      <c r="K32" s="3">
        <f t="shared" si="3"/>
        <v>0</v>
      </c>
      <c r="L32" s="3">
        <v>3</v>
      </c>
      <c r="M32" s="3"/>
      <c r="N32" s="3">
        <v>1</v>
      </c>
      <c r="O32" s="3" t="str">
        <f t="shared" si="4"/>
        <v>Correct</v>
      </c>
      <c r="P32" s="3">
        <f t="shared" si="5"/>
        <v>1</v>
      </c>
      <c r="Q32" s="3">
        <v>5</v>
      </c>
      <c r="R32" s="3"/>
      <c r="S32" s="3"/>
      <c r="T32">
        <f>SUM(RavenResultsTable[[#This Row],[Column3]],RavenResultsTable[[#This Row],[Column2]],RavenResultsTable[[#This Row],[Column1]])</f>
        <v>2</v>
      </c>
    </row>
    <row r="33" spans="1:20">
      <c r="A33" s="3" t="s">
        <v>43</v>
      </c>
      <c r="B33" s="3" t="s">
        <v>51</v>
      </c>
      <c r="C33" s="3">
        <v>3</v>
      </c>
      <c r="D33" s="3">
        <v>5</v>
      </c>
      <c r="E33" s="3" t="str">
        <f>IF(D33="","",IF(D33=$C33,"Correct","Incorrect"))</f>
        <v>Incorrect</v>
      </c>
      <c r="F33" s="3">
        <f t="shared" si="1"/>
        <v>0</v>
      </c>
      <c r="G33" s="3">
        <v>0</v>
      </c>
      <c r="H33" s="3" t="s">
        <v>18</v>
      </c>
      <c r="I33" s="3">
        <v>8</v>
      </c>
      <c r="J33" s="3" t="str">
        <f t="shared" si="2"/>
        <v>Incorrect</v>
      </c>
      <c r="K33" s="3">
        <f t="shared" si="3"/>
        <v>0</v>
      </c>
      <c r="L33" s="3">
        <v>4</v>
      </c>
      <c r="M33" s="3"/>
      <c r="N33" s="3">
        <v>4</v>
      </c>
      <c r="O33" s="3" t="str">
        <f t="shared" si="4"/>
        <v>Incorrect</v>
      </c>
      <c r="P33" s="3">
        <f t="shared" si="5"/>
        <v>0</v>
      </c>
      <c r="Q33" s="3">
        <v>6</v>
      </c>
      <c r="R33" s="3"/>
      <c r="S33" s="3"/>
      <c r="T33">
        <f>SUM(RavenResultsTable[[#This Row],[Column3]],RavenResultsTable[[#This Row],[Column2]],RavenResultsTable[[#This Row],[Column1]])</f>
        <v>0</v>
      </c>
    </row>
    <row r="34" spans="1:20">
      <c r="A34" s="3" t="s">
        <v>43</v>
      </c>
      <c r="B34" s="3" t="s">
        <v>52</v>
      </c>
      <c r="C34" s="3">
        <v>6</v>
      </c>
      <c r="D34" s="3">
        <v>6</v>
      </c>
      <c r="E34" s="3" t="str">
        <f t="shared" si="0"/>
        <v>Correct</v>
      </c>
      <c r="F34" s="3">
        <f t="shared" si="1"/>
        <v>1</v>
      </c>
      <c r="G34" s="3">
        <v>0</v>
      </c>
      <c r="H34" s="3" t="s">
        <v>18</v>
      </c>
      <c r="I34" s="3">
        <v>5</v>
      </c>
      <c r="J34" s="3" t="str">
        <f t="shared" si="2"/>
        <v>Incorrect</v>
      </c>
      <c r="K34" s="3">
        <f t="shared" si="3"/>
        <v>0</v>
      </c>
      <c r="L34" s="3">
        <v>11</v>
      </c>
      <c r="M34" s="3"/>
      <c r="N34" s="3">
        <v>4</v>
      </c>
      <c r="O34" s="3" t="str">
        <f t="shared" si="4"/>
        <v>Incorrect</v>
      </c>
      <c r="P34" s="3">
        <f t="shared" si="5"/>
        <v>0</v>
      </c>
      <c r="Q34" s="3">
        <v>8</v>
      </c>
      <c r="R34" s="3"/>
      <c r="S34" s="3"/>
      <c r="T34">
        <f>SUM(RavenResultsTable[[#This Row],[Column3]],RavenResultsTable[[#This Row],[Column2]],RavenResultsTable[[#This Row],[Column1]])</f>
        <v>1</v>
      </c>
    </row>
    <row r="35" spans="1:20">
      <c r="A35" s="3" t="s">
        <v>43</v>
      </c>
      <c r="B35" s="3" t="s">
        <v>53</v>
      </c>
      <c r="C35" s="3">
        <v>2</v>
      </c>
      <c r="D35" s="3">
        <v>6</v>
      </c>
      <c r="E35" s="3" t="str">
        <f t="shared" si="0"/>
        <v>Incorrect</v>
      </c>
      <c r="F35" s="3">
        <f t="shared" si="1"/>
        <v>0</v>
      </c>
      <c r="G35" s="3">
        <v>0</v>
      </c>
      <c r="H35" s="3" t="s">
        <v>18</v>
      </c>
      <c r="I35" s="3">
        <v>8</v>
      </c>
      <c r="J35" s="3" t="str">
        <f t="shared" si="2"/>
        <v>Incorrect</v>
      </c>
      <c r="K35" s="3">
        <f t="shared" si="3"/>
        <v>0</v>
      </c>
      <c r="L35" s="3">
        <v>6</v>
      </c>
      <c r="M35" s="3"/>
      <c r="N35" s="3">
        <v>8</v>
      </c>
      <c r="O35" s="3" t="str">
        <f t="shared" si="4"/>
        <v>Incorrect</v>
      </c>
      <c r="P35" s="3">
        <f t="shared" si="5"/>
        <v>0</v>
      </c>
      <c r="Q35" s="3">
        <v>2</v>
      </c>
      <c r="R35" s="3"/>
      <c r="S35" s="3"/>
      <c r="T35">
        <f>SUM(RavenResultsTable[[#This Row],[Column3]],RavenResultsTable[[#This Row],[Column2]],RavenResultsTable[[#This Row],[Column1]])</f>
        <v>0</v>
      </c>
    </row>
    <row r="36" spans="1:20">
      <c r="A36" s="3" t="s">
        <v>43</v>
      </c>
      <c r="B36" s="3" t="s">
        <v>54</v>
      </c>
      <c r="C36" s="3">
        <v>4</v>
      </c>
      <c r="D36" s="3">
        <v>7</v>
      </c>
      <c r="E36" s="3" t="str">
        <f t="shared" si="0"/>
        <v>Incorrect</v>
      </c>
      <c r="F36" s="3">
        <f t="shared" si="1"/>
        <v>0</v>
      </c>
      <c r="G36" s="3">
        <v>0</v>
      </c>
      <c r="H36" s="3" t="s">
        <v>18</v>
      </c>
      <c r="I36" s="3">
        <v>8</v>
      </c>
      <c r="J36" s="3" t="str">
        <f t="shared" si="2"/>
        <v>Incorrect</v>
      </c>
      <c r="K36" s="3">
        <f t="shared" si="3"/>
        <v>0</v>
      </c>
      <c r="L36" s="3">
        <v>1</v>
      </c>
      <c r="M36" s="3"/>
      <c r="N36" s="3">
        <v>8</v>
      </c>
      <c r="O36" s="3" t="str">
        <f t="shared" si="4"/>
        <v>Incorrect</v>
      </c>
      <c r="P36" s="3">
        <f t="shared" si="5"/>
        <v>0</v>
      </c>
      <c r="Q36" s="3">
        <v>4</v>
      </c>
      <c r="R36" s="3"/>
      <c r="S36" s="3"/>
      <c r="T36">
        <f>SUM(RavenResultsTable[[#This Row],[Column3]],RavenResultsTable[[#This Row],[Column2]],RavenResultsTable[[#This Row],[Column1]])</f>
        <v>0</v>
      </c>
    </row>
    <row r="37" spans="1:20">
      <c r="A37" s="3" t="s">
        <v>43</v>
      </c>
      <c r="B37" s="3" t="s">
        <v>55</v>
      </c>
      <c r="C37" s="3">
        <v>5</v>
      </c>
      <c r="D37" s="3">
        <v>2</v>
      </c>
      <c r="E37" s="3" t="str">
        <f t="shared" si="0"/>
        <v>Incorrect</v>
      </c>
      <c r="F37" s="3">
        <f t="shared" si="1"/>
        <v>0</v>
      </c>
      <c r="G37" s="3">
        <v>0</v>
      </c>
      <c r="H37" s="3" t="s">
        <v>18</v>
      </c>
      <c r="I37" s="3">
        <v>5</v>
      </c>
      <c r="J37" s="3" t="str">
        <f t="shared" si="2"/>
        <v>Correct</v>
      </c>
      <c r="K37" s="3">
        <f t="shared" si="3"/>
        <v>1</v>
      </c>
      <c r="L37" s="3">
        <v>6</v>
      </c>
      <c r="M37" s="3"/>
      <c r="N37" s="3">
        <v>6</v>
      </c>
      <c r="O37" s="3" t="str">
        <f t="shared" si="4"/>
        <v>Incorrect</v>
      </c>
      <c r="P37" s="3">
        <f t="shared" si="5"/>
        <v>0</v>
      </c>
      <c r="Q37" s="3">
        <v>1</v>
      </c>
      <c r="R37" s="3"/>
      <c r="S37" s="3"/>
      <c r="T37">
        <f>SUM(RavenResultsTable[[#This Row],[Column3]],RavenResultsTable[[#This Row],[Column2]],RavenResultsTable[[#This Row],[Column1]])</f>
        <v>1</v>
      </c>
    </row>
    <row r="43" spans="1:20">
      <c r="O43" t="s">
        <v>74</v>
      </c>
    </row>
  </sheetData>
  <conditionalFormatting sqref="E2:F37">
    <cfRule type="expression" dxfId="7" priority="1">
      <formula>$E2="Correct"</formula>
    </cfRule>
    <cfRule type="expression" dxfId="6" priority="2">
      <formula>$E2="Incorrect"</formula>
    </cfRule>
  </conditionalFormatting>
  <conditionalFormatting sqref="J2:K37">
    <cfRule type="expression" dxfId="5" priority="3">
      <formula>$J2="Correct"</formula>
    </cfRule>
    <cfRule type="expression" dxfId="4" priority="4">
      <formula>$J2="Incorrect"</formula>
    </cfRule>
  </conditionalFormatting>
  <conditionalFormatting sqref="O2:P37">
    <cfRule type="expression" dxfId="3" priority="5">
      <formula>$O2="Correct"</formula>
    </cfRule>
    <cfRule type="expression" dxfId="2" priority="6">
      <formula>$O2="Incorrect"</formula>
    </cfRule>
  </conditionalFormatting>
  <dataValidations count="1">
    <dataValidation type="list" sqref="D2:D37 N2:N37 I2:I37" xr:uid="{00000000-0002-0000-0000-000000000000}">
      <formula1>"1,2,3,4,5,6,7,8"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opLeftCell="A4" workbookViewId="0">
      <selection activeCell="B23" sqref="B23"/>
    </sheetView>
  </sheetViews>
  <sheetFormatPr defaultColWidth="8.83203125" defaultRowHeight="14.25"/>
  <cols>
    <col min="1" max="6" width="19" customWidth="1"/>
  </cols>
  <sheetData>
    <row r="1" spans="1:6" ht="15.5">
      <c r="A1" s="7" t="s">
        <v>56</v>
      </c>
      <c r="B1" s="8"/>
      <c r="C1" s="8"/>
      <c r="D1" s="8"/>
      <c r="E1" s="8"/>
      <c r="F1" s="8"/>
    </row>
    <row r="2" spans="1:6">
      <c r="A2" s="2"/>
      <c r="B2" s="2"/>
      <c r="C2" s="2"/>
      <c r="D2" s="2"/>
      <c r="E2" s="2"/>
      <c r="F2" s="2"/>
    </row>
    <row r="3" spans="1:6" ht="14.5">
      <c r="A3" s="9" t="s">
        <v>57</v>
      </c>
      <c r="B3" s="8"/>
      <c r="C3" s="8"/>
      <c r="D3" s="8"/>
      <c r="E3" s="8"/>
      <c r="F3" s="8"/>
    </row>
    <row r="4" spans="1:6" ht="14.5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</row>
    <row r="5" spans="1:6">
      <c r="A5" s="2" t="s">
        <v>64</v>
      </c>
      <c r="B5" s="5">
        <f>IFERROR(COUNTIFS(Results!$A:$A,"C",Results!$E:$E,"Correct")/(COUNTIFS(Results!$A:$A,"C",Results!$E:$E,"Correct")+COUNTIFS(Results!$A:$A,"C",Results!$E:$E,"Incorrect")),"")</f>
        <v>0.58333333333333337</v>
      </c>
      <c r="C5" s="5">
        <f>IFERROR(COUNTIFS(Results!$A:$A,"D",Results!$E:$E,"Correct")/(COUNTIFS(Results!$A:$A,"D",Results!$E:$E,"Correct")+COUNTIFS(Results!$A:$A,"D",Results!$E:$E,"Incorrect")),"")</f>
        <v>0.75</v>
      </c>
      <c r="D5" s="5">
        <f>IFERROR(COUNTIFS(Results!$A:$A,"E",Results!$E:$E,"Correct")/(COUNTIFS(Results!$A:$A,"E",Results!$E:$E,"Correct")+COUNTIFS(Results!$A:$A,"E",Results!$E:$E,"Incorrect")),"")</f>
        <v>0.33333333333333331</v>
      </c>
      <c r="E5" s="5">
        <f>IFERROR(COUNTIFS(Results!$E:$E,"Correct")/(COUNTIFS(Results!$E:$E,"Correct")+COUNTIFS(Results!$E:$E,"Incorrect")),"")</f>
        <v>0.55555555555555558</v>
      </c>
      <c r="F5" s="2">
        <f>(COUNTIFS(Results!$E:$E,"Correct")+COUNTIFS(Results!$E:$E,"Incorrect"))</f>
        <v>36</v>
      </c>
    </row>
    <row r="6" spans="1:6">
      <c r="A6" s="2" t="s">
        <v>65</v>
      </c>
      <c r="B6" s="5">
        <f>IFERROR(COUNTIFS(Results!$A:$A,"C",Results!$J:$J,"Correct")/(COUNTIFS(Results!$A:$A,"C",Results!$J:$J,"Correct")+COUNTIFS(Results!$A:$A,"C",Results!$J:$J,"Incorrect")),"")</f>
        <v>0.16666666666666666</v>
      </c>
      <c r="C6" s="5">
        <f>IFERROR(COUNTIFS(Results!$A:$A,"D",Results!$J:$J,"Correct")/(COUNTIFS(Results!$A:$A,"D",Results!$J:$J,"Correct")+COUNTIFS(Results!$A:$A,"D",Results!$J:$J,"Incorrect")),"")</f>
        <v>0.58333333333333337</v>
      </c>
      <c r="D6" s="5">
        <f>IFERROR(COUNTIFS(Results!$A:$A,"E",Results!$J:$J,"Correct")/(COUNTIFS(Results!$A:$A,"E",Results!$J:$J,"Correct")+COUNTIFS(Results!$A:$A,"E",Results!$J:$J,"Incorrect")),"")</f>
        <v>0.33333333333333331</v>
      </c>
      <c r="E6" s="5">
        <f>IFERROR(COUNTIFS(Results!$J:$J,"Correct")/(COUNTIFS(Results!$J:$J,"Correct")+COUNTIFS(Results!$J:$J,"Incorrect")),"")</f>
        <v>0.3611111111111111</v>
      </c>
      <c r="F6" s="2">
        <f>(COUNTIFS(Results!$J:$J,"Correct")+COUNTIFS(Results!$J:$J,"Incorrect"))</f>
        <v>36</v>
      </c>
    </row>
    <row r="7" spans="1:6">
      <c r="A7" s="2" t="s">
        <v>66</v>
      </c>
      <c r="B7" s="5">
        <f>IFERROR(COUNTIFS(Results!$A:$A,"C",Results!$O:$O,"Correct")/(COUNTIFS(Results!$A:$A,"C",Results!$O:$O,"Correct")+COUNTIFS(Results!$A:$A,"C",Results!$O:$O,"Incorrect")),"")</f>
        <v>0.5</v>
      </c>
      <c r="C7" s="5">
        <f>IFERROR(COUNTIFS(Results!$A:$A,"D",Results!$O:$O,"Correct")/(COUNTIFS(Results!$A:$A,"D",Results!$O:$O,"Correct")+COUNTIFS(Results!$A:$A,"D",Results!$O:$O,"Incorrect")),"")</f>
        <v>0.66666666666666663</v>
      </c>
      <c r="D7" s="5">
        <f>IFERROR(COUNTIFS(Results!$A:$A,"E",Results!$O:$O,"Correct")/(COUNTIFS(Results!$A:$A,"E",Results!$O:$O,"Correct")+COUNTIFS(Results!$A:$A,"E",Results!$O:$O,"Incorrect")),"")</f>
        <v>0.33333333333333331</v>
      </c>
      <c r="E7" s="5">
        <f>IFERROR(COUNTIFS(Results!$O:$O,"Correct")/(COUNTIFS(Results!$O:$O,"Correct")+COUNTIFS(Results!$O:$O,"Incorrect")),"")</f>
        <v>0.5</v>
      </c>
      <c r="F7" s="2">
        <f>(COUNTIFS(Results!$O:$O,"Correct")+COUNTIFS(Results!$O:$O,"Incorrect"))</f>
        <v>36</v>
      </c>
    </row>
    <row r="8" spans="1:6">
      <c r="A8" s="2"/>
      <c r="B8" s="2"/>
      <c r="C8" s="2"/>
      <c r="D8" s="2"/>
      <c r="E8" s="2"/>
      <c r="F8" s="2"/>
    </row>
    <row r="9" spans="1:6" ht="14.5">
      <c r="A9" s="9" t="s">
        <v>67</v>
      </c>
      <c r="B9" s="8"/>
      <c r="C9" s="8"/>
      <c r="D9" s="8"/>
      <c r="E9" s="8"/>
      <c r="F9" s="8"/>
    </row>
    <row r="10" spans="1:6" ht="14.5">
      <c r="A10" s="4" t="s">
        <v>58</v>
      </c>
      <c r="B10" s="4" t="s">
        <v>59</v>
      </c>
      <c r="C10" s="4" t="s">
        <v>60</v>
      </c>
      <c r="D10" s="4" t="s">
        <v>61</v>
      </c>
      <c r="E10" s="4" t="s">
        <v>62</v>
      </c>
      <c r="F10" s="4"/>
    </row>
    <row r="11" spans="1:6">
      <c r="A11" s="2" t="s">
        <v>64</v>
      </c>
      <c r="B11" s="2" t="str">
        <f>COUNTIFS(Results!$A:$A,"C",Results!$E:$E,"Correct")&amp;"/"&amp;(COUNTIFS(Results!$A:$A,"C",Results!$E:$E,"Correct")+COUNTIFS(Results!$A:$A,"C",Results!$E:$E,"Incorrect"))</f>
        <v>7/12</v>
      </c>
      <c r="C11" s="2" t="str">
        <f>COUNTIFS(Results!$A:$A,"D",Results!$E:$E,"Correct")&amp;"/"&amp;(COUNTIFS(Results!$A:$A,"D",Results!$E:$E,"Correct")+COUNTIFS(Results!$A:$A,"D",Results!$E:$E,"Incorrect"))</f>
        <v>9/12</v>
      </c>
      <c r="D11" s="2" t="str">
        <f>COUNTIFS(Results!$A:$A,"E",Results!$E:$E,"Correct")&amp;"/"&amp;(COUNTIFS(Results!$A:$A,"E",Results!$E:$E,"Correct")+COUNTIFS(Results!$A:$A,"E",Results!$E:$E,"Incorrect"))</f>
        <v>4/12</v>
      </c>
      <c r="E11" s="2" t="str">
        <f>COUNTIFS(Results!$E:$E,"Correct")&amp;"/"&amp;(COUNTIFS(Results!$E:$E,"Correct")+COUNTIFS(Results!$E:$E,"Incorrect"))</f>
        <v>20/36</v>
      </c>
      <c r="F11" s="2"/>
    </row>
    <row r="12" spans="1:6">
      <c r="A12" s="2" t="s">
        <v>65</v>
      </c>
      <c r="B12" s="2" t="str">
        <f>COUNTIFS(Results!$A:$A,"C",Results!$J:$J,"Correct")&amp;"/"&amp;(COUNTIFS(Results!$A:$A,"C",Results!$J:$J,"Correct")+COUNTIFS(Results!$A:$A,"C",Results!$J:$J,"Incorrect"))</f>
        <v>2/12</v>
      </c>
      <c r="C12" s="2" t="str">
        <f>COUNTIFS(Results!$A:$A,"D",Results!$J:$J,"Correct")&amp;"/"&amp;(COUNTIFS(Results!$A:$A,"D",Results!$J:$J,"Correct")+COUNTIFS(Results!$A:$A,"D",Results!$J:$J,"Incorrect"))</f>
        <v>7/12</v>
      </c>
      <c r="D12" s="2" t="str">
        <f>COUNTIFS(Results!$A:$A,"E",Results!$J:$J,"Correct")&amp;"/"&amp;(COUNTIFS(Results!$A:$A,"E",Results!$J:$J,"Correct")+COUNTIFS(Results!$A:$A,"E",Results!$J:$J,"Incorrect"))</f>
        <v>4/12</v>
      </c>
      <c r="E12" s="2" t="str">
        <f>COUNTIFS(Results!$J:$J,"Correct")&amp;"/"&amp;(COUNTIFS(Results!$J:$J,"Correct")+COUNTIFS(Results!$J:$J,"Incorrect"))</f>
        <v>13/36</v>
      </c>
      <c r="F12" s="2"/>
    </row>
    <row r="13" spans="1:6">
      <c r="A13" s="2" t="s">
        <v>66</v>
      </c>
      <c r="B13" s="2" t="str">
        <f>COUNTIFS(Results!$A:$A,"C",Results!$O:$O,"Correct")&amp;"/"&amp;(COUNTIFS(Results!$A:$A,"C",Results!$O:$O,"Correct")+COUNTIFS(Results!$A:$A,"C",Results!$O:$O,"Incorrect"))</f>
        <v>6/12</v>
      </c>
      <c r="C13" s="2" t="str">
        <f>COUNTIFS(Results!$A:$A,"D",Results!$O:$O,"Correct")&amp;"/"&amp;(COUNTIFS(Results!$A:$A,"D",Results!$O:$O,"Correct")+COUNTIFS(Results!$A:$A,"D",Results!$O:$O,"Incorrect"))</f>
        <v>8/12</v>
      </c>
      <c r="D13" s="2" t="str">
        <f>COUNTIFS(Results!$A:$A,"E",Results!$O:$O,"Correct")&amp;"/"&amp;(COUNTIFS(Results!$A:$A,"E",Results!$O:$O,"Correct")+COUNTIFS(Results!$A:$A,"E",Results!$O:$O,"Incorrect"))</f>
        <v>4/12</v>
      </c>
      <c r="E13" s="2" t="str">
        <f>COUNTIFS(Results!$O:$O,"Correct")&amp;"/"&amp;(COUNTIFS(Results!$O:$O,"Correct")+COUNTIFS(Results!$O:$O,"Incorrect"))</f>
        <v>18/36</v>
      </c>
      <c r="F13" s="2"/>
    </row>
    <row r="14" spans="1:6">
      <c r="A14" s="2"/>
      <c r="B14" s="2"/>
      <c r="C14" s="2"/>
      <c r="D14" s="2"/>
      <c r="E14" s="2"/>
      <c r="F14" s="2"/>
    </row>
    <row r="15" spans="1:6" ht="14.5">
      <c r="A15" s="9" t="s">
        <v>68</v>
      </c>
      <c r="B15" s="8"/>
      <c r="C15" s="8"/>
      <c r="D15" s="8"/>
      <c r="E15" s="8"/>
      <c r="F15" s="8"/>
    </row>
    <row r="16" spans="1:6" ht="14.5">
      <c r="A16" s="4" t="s">
        <v>58</v>
      </c>
      <c r="B16" s="4" t="s">
        <v>59</v>
      </c>
      <c r="C16" s="4" t="s">
        <v>60</v>
      </c>
      <c r="D16" s="4" t="s">
        <v>61</v>
      </c>
      <c r="E16" s="4" t="s">
        <v>62</v>
      </c>
      <c r="F16" s="4" t="s">
        <v>69</v>
      </c>
    </row>
    <row r="17" spans="1:6" ht="28.5">
      <c r="A17" s="2" t="s">
        <v>64</v>
      </c>
      <c r="B17" s="6">
        <f>IFERROR((SUMIFS(Results!$G:$G,Results!$A:$A,"C",Results!$E:$E,"Correct")+SUMIFS(Results!$G:$G,Results!$A:$A,"C",Results!$E:$E,"Incorrect"))/(COUNTIFS(Results!$A:$A,"C",Results!$E:$E,"Correct")+COUNTIFS(Results!$A:$A,"C",Results!$E:$E,"Incorrect")),"")</f>
        <v>0</v>
      </c>
      <c r="C17" s="6">
        <f>IFERROR((SUMIFS(Results!$G:$G,Results!$A:$A,"D",Results!$E:$E,"Correct")+SUMIFS(Results!$G:$G,Results!$A:$A,"D",Results!$E:$E,"Incorrect"))/(COUNTIFS(Results!$A:$A,"D",Results!$E:$E,"Correct")+COUNTIFS(Results!$A:$A,"D",Results!$E:$E,"Incorrect")),"")</f>
        <v>0</v>
      </c>
      <c r="D17" s="6">
        <f>IFERROR((SUMIFS(Results!$G:$G,Results!$A:$A,"E",Results!$E:$E,"Correct")+SUMIFS(Results!$G:$G,Results!$A:$A,"E",Results!$E:$E,"Incorrect"))/(COUNTIFS(Results!$A:$A,"E",Results!$E:$E,"Correct")+COUNTIFS(Results!$A:$A,"E",Results!$E:$E,"Incorrect")),"")</f>
        <v>0</v>
      </c>
      <c r="E17" s="6">
        <f>IFERROR((SUMIFS(Results!$G:$G,Results!$E:$E,"Correct")+SUMIFS(Results!$G:$G,Results!$E:$E,"Incorrect"))/(COUNTIFS(Results!$E:$E,"Correct")+COUNTIFS(Results!$E:$E,"Incorrect")),"")</f>
        <v>0</v>
      </c>
      <c r="F17" s="2" t="s">
        <v>70</v>
      </c>
    </row>
    <row r="18" spans="1:6">
      <c r="A18" s="2" t="s">
        <v>65</v>
      </c>
      <c r="B18" s="6">
        <f>IFERROR((SUMIFS(Results!$L:$L,Results!$A:$A,"C",Results!$J:$J,"Correct")+SUMIFS(Results!$L:$L,Results!$A:$A,"C",Results!$J:$J,"Incorrect"))/(COUNTIFS(Results!$A:$A,"C",Results!$J:$J,"Correct")+COUNTIFS(Results!$A:$A,"C",Results!$J:$J,"Incorrect")),"")</f>
        <v>6.75</v>
      </c>
      <c r="C18" s="6">
        <f>IFERROR((SUMIFS(Results!$L:$L,Results!$A:$A,"D",Results!$J:$J,"Correct")+SUMIFS(Results!$L:$L,Results!$A:$A,"D",Results!$J:$J,"Incorrect"))/(COUNTIFS(Results!$A:$A,"D",Results!$J:$J,"Correct")+COUNTIFS(Results!$A:$A,"D",Results!$J:$J,"Incorrect")),"")</f>
        <v>5.166666666666667</v>
      </c>
      <c r="D18" s="6">
        <f>IFERROR((SUMIFS(Results!$L:$L,Results!$A:$A,"E",Results!$J:$J,"Correct")+SUMIFS(Results!$L:$L,Results!$A:$A,"E",Results!$J:$J,"Incorrect"))/(COUNTIFS(Results!$A:$A,"E",Results!$J:$J,"Correct")+COUNTIFS(Results!$A:$A,"E",Results!$J:$J,"Incorrect")),"")</f>
        <v>7</v>
      </c>
      <c r="E18" s="6">
        <f>IFERROR((SUMIFS(Results!$L:$L,Results!$J:$J,"Correct")+SUMIFS(Results!$L:$L,Results!$J:$J,"Incorrect"))/(COUNTIFS(Results!$J:$J,"Correct")+COUNTIFS(Results!$J:$J,"Incorrect")),"")</f>
        <v>6.3055555555555554</v>
      </c>
      <c r="F18" s="2"/>
    </row>
    <row r="19" spans="1:6">
      <c r="A19" s="2" t="s">
        <v>66</v>
      </c>
      <c r="B19" s="6">
        <f>IFERROR((SUMIFS(Results!$Q:$Q,Results!$A:$A,"C",Results!$O:$O,"Correct")+SUMIFS(Results!$Q:$Q,Results!$A:$A,"C",Results!$O:$O,"Incorrect"))/(COUNTIFS(Results!$A:$A,"C",Results!$O:$O,"Correct")+COUNTIFS(Results!$A:$A,"C",Results!$O:$O,"Incorrect")),"")</f>
        <v>4.333333333333333</v>
      </c>
      <c r="C19" s="6">
        <f>IFERROR((SUMIFS(Results!$Q:$Q,Results!$A:$A,"D",Results!$O:$O,"Correct")+SUMIFS(Results!$Q:$Q,Results!$A:$A,"D",Results!$O:$O,"Incorrect"))/(COUNTIFS(Results!$A:$A,"D",Results!$O:$O,"Correct")+COUNTIFS(Results!$A:$A,"D",Results!$O:$O,"Incorrect")),"")</f>
        <v>4.666666666666667</v>
      </c>
      <c r="D19" s="6">
        <f>IFERROR((SUMIFS(Results!$Q:$Q,Results!$A:$A,"E",Results!$O:$O,"Correct")+SUMIFS(Results!$Q:$Q,Results!$A:$A,"E",Results!$O:$O,"Incorrect"))/(COUNTIFS(Results!$A:$A,"E",Results!$O:$O,"Correct")+COUNTIFS(Results!$A:$A,"E",Results!$O:$O,"Incorrect")),"")</f>
        <v>4.25</v>
      </c>
      <c r="E19" s="6">
        <f>IFERROR((SUMIFS(Results!$Q:$Q,Results!$O:$O,"Correct")+SUMIFS(Results!$Q:$Q,Results!$O:$O,"Incorrect"))/(COUNTIFS(Results!$O:$O,"Correct")+COUNTIFS(Results!$O:$O,"Incorrect")),"")</f>
        <v>4.416666666666667</v>
      </c>
      <c r="F19" s="2"/>
    </row>
    <row r="20" spans="1:6">
      <c r="A20" s="2"/>
      <c r="B20" s="2"/>
      <c r="C20" s="2"/>
      <c r="D20" s="2"/>
      <c r="E20" s="2"/>
      <c r="F20" s="2"/>
    </row>
    <row r="21" spans="1:6" ht="14.5">
      <c r="A21" s="9" t="s">
        <v>71</v>
      </c>
      <c r="B21" s="8"/>
      <c r="C21" s="8"/>
      <c r="D21" s="8"/>
      <c r="E21" s="8"/>
      <c r="F21" s="8"/>
    </row>
    <row r="22" spans="1:6">
      <c r="A22" s="2" t="s">
        <v>72</v>
      </c>
      <c r="B22" s="2" t="str">
        <f>IFERROR(INDEX(A5:A7,MATCH(MAX(E5:E7),E5:E7,0))&amp;" ("&amp;TEXT(MAX(E5:E7),"0.0%")&amp;")","")</f>
        <v>ChatGPT (55.6%)</v>
      </c>
      <c r="C22" s="2"/>
      <c r="D22" s="2"/>
      <c r="E22" s="2"/>
      <c r="F22" s="2"/>
    </row>
    <row r="23" spans="1:6" ht="57">
      <c r="A23" s="2" t="s">
        <v>73</v>
      </c>
      <c r="B23" s="2" t="str">
        <f>IFERROR("ChatGPT (currently "&amp;TEXT(E5,"0.0%")&amp;" accuracy with immediate responses)","")</f>
        <v>ChatGPT (currently 55.6% accuracy with immediate responses)</v>
      </c>
      <c r="C23" s="2"/>
      <c r="D23" s="2"/>
      <c r="E23" s="2"/>
      <c r="F23" s="2"/>
    </row>
  </sheetData>
  <mergeCells count="5">
    <mergeCell ref="A1:F1"/>
    <mergeCell ref="A3:F3"/>
    <mergeCell ref="A9:F9"/>
    <mergeCell ref="A15:F15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Lars Winkler</dc:creator>
  <cp:keywords/>
  <dc:description/>
  <cp:lastModifiedBy>Tomas Jagelka</cp:lastModifiedBy>
  <dcterms:modified xsi:type="dcterms:W3CDTF">2026-05-29T10:37:15Z</dcterms:modified>
  <cp:category/>
</cp:coreProperties>
</file>